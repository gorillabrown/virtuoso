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aa9f6fdefc3e470/Desktop/.TEMP/"/>
    </mc:Choice>
  </mc:AlternateContent>
  <xr:revisionPtr revIDLastSave="11" documentId="8_{1386CC1A-C313-45BC-BDC6-E25FABD54491}" xr6:coauthVersionLast="47" xr6:coauthVersionMax="47" xr10:uidLastSave="{A7D90CAE-998B-41F5-8A8B-6721471EED32}"/>
  <bookViews>
    <workbookView xWindow="25080" yWindow="-570" windowWidth="29040" windowHeight="15720" tabRatio="500" xr2:uid="{00000000-000D-0000-FFFF-FFFF00000000}"/>
  </bookViews>
  <sheets>
    <sheet name="Dashboard" sheetId="1" r:id="rId1"/>
    <sheet name="DATA.sprint-catalog" sheetId="7" r:id="rId2"/>
    <sheet name="Variabl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B17" i="1"/>
  <c r="B16" i="1"/>
  <c r="B15" i="1"/>
  <c r="B14" i="1"/>
  <c r="B13" i="1"/>
  <c r="B12" i="1"/>
  <c r="B11" i="1"/>
  <c r="S2" i="7"/>
  <c r="R2" i="7"/>
  <c r="Q2" i="7"/>
  <c r="A41" i="1"/>
  <c r="A40" i="1"/>
  <c r="A39" i="1"/>
  <c r="A38" i="1"/>
  <c r="A37" i="1"/>
  <c r="A36" i="1"/>
  <c r="A35" i="1"/>
  <c r="A34" i="1"/>
  <c r="A33" i="1"/>
  <c r="A32" i="1"/>
  <c r="A31" i="1"/>
  <c r="A30" i="1"/>
  <c r="F16" i="1" l="1"/>
  <c r="F18" i="1"/>
  <c r="F14" i="1"/>
  <c r="F19" i="1"/>
  <c r="F17" i="1"/>
  <c r="F13" i="1"/>
  <c r="G13" i="1" s="1"/>
  <c r="F15" i="1"/>
  <c r="F12" i="1"/>
  <c r="T2" i="7"/>
  <c r="E27" i="1"/>
  <c r="E23" i="1"/>
  <c r="E24" i="1"/>
  <c r="E26" i="1"/>
  <c r="E25" i="1"/>
  <c r="A2" i="7" l="1"/>
  <c r="G12" i="1"/>
  <c r="B18" i="1"/>
  <c r="G17" i="1"/>
  <c r="H20" i="1"/>
  <c r="B22" i="1" s="1"/>
  <c r="G16" i="1"/>
  <c r="G18" i="1"/>
  <c r="G19" i="1"/>
  <c r="B25" i="1"/>
  <c r="G15" i="1"/>
  <c r="G14" i="1"/>
  <c r="F30" i="1" l="1"/>
  <c r="C37" i="1"/>
  <c r="C33" i="1"/>
  <c r="F35" i="1"/>
  <c r="E35" i="1"/>
  <c r="D35" i="1"/>
  <c r="F34" i="1"/>
  <c r="B33" i="1"/>
  <c r="D32" i="1"/>
  <c r="C40" i="1"/>
  <c r="B35" i="1"/>
  <c r="E39" i="1"/>
  <c r="C35" i="1"/>
  <c r="D37" i="1"/>
  <c r="B38" i="1"/>
  <c r="C34" i="1"/>
  <c r="F36" i="1"/>
  <c r="F39" i="1"/>
  <c r="D31" i="1"/>
  <c r="E36" i="1"/>
  <c r="B37" i="1"/>
  <c r="F32" i="1"/>
  <c r="F33" i="1"/>
  <c r="B39" i="1"/>
  <c r="E34" i="1"/>
  <c r="E37" i="1"/>
  <c r="C36" i="1"/>
  <c r="D41" i="1"/>
  <c r="F38" i="1"/>
  <c r="B40" i="1"/>
  <c r="E38" i="1"/>
  <c r="B32" i="1"/>
  <c r="D39" i="1"/>
  <c r="F37" i="1"/>
  <c r="B41" i="1"/>
  <c r="D34" i="1"/>
  <c r="E32" i="1"/>
  <c r="F41" i="1"/>
  <c r="E40" i="1"/>
  <c r="B31" i="1"/>
  <c r="C39" i="1"/>
  <c r="C41" i="1"/>
  <c r="D33" i="1"/>
  <c r="C31" i="1"/>
  <c r="C38" i="1"/>
  <c r="E41" i="1"/>
  <c r="D40" i="1"/>
  <c r="E33" i="1"/>
  <c r="E31" i="1"/>
  <c r="F31" i="1"/>
  <c r="B36" i="1"/>
  <c r="B34" i="1"/>
  <c r="F40" i="1"/>
  <c r="C32" i="1"/>
  <c r="D38" i="1"/>
  <c r="D36" i="1"/>
  <c r="D30" i="1"/>
  <c r="E30" i="1"/>
  <c r="B30" i="1"/>
  <c r="C30" i="1"/>
  <c r="F20" i="1"/>
  <c r="G20" i="1"/>
  <c r="B21" i="1" s="1"/>
  <c r="B23" i="1" s="1"/>
  <c r="B24" i="1" s="1"/>
  <c r="B26" i="1" l="1"/>
</calcChain>
</file>

<file path=xl/sharedStrings.xml><?xml version="1.0" encoding="utf-8"?>
<sst xmlns="http://schemas.openxmlformats.org/spreadsheetml/2006/main" count="118" uniqueCount="76">
  <si>
    <t>Seq</t>
  </si>
  <si>
    <t>Sprint Code</t>
  </si>
  <si>
    <t>Title</t>
  </si>
  <si>
    <t>Phase</t>
  </si>
  <si>
    <t>Stage</t>
  </si>
  <si>
    <t>LOE</t>
  </si>
  <si>
    <t>Dependencies</t>
  </si>
  <si>
    <t>Implementation Status</t>
  </si>
  <si>
    <t>Written Status</t>
  </si>
  <si>
    <t>Description</t>
  </si>
  <si>
    <t>Branch</t>
  </si>
  <si>
    <t>Date Started</t>
  </si>
  <si>
    <t>Date Completed</t>
  </si>
  <si>
    <t>Close-Out File</t>
  </si>
  <si>
    <t>Notes</t>
  </si>
  <si>
    <t>Phase 3</t>
  </si>
  <si>
    <t>L</t>
  </si>
  <si>
    <t>Completed</t>
  </si>
  <si>
    <t>M</t>
  </si>
  <si>
    <t>Blocked</t>
  </si>
  <si>
    <t>Superseded</t>
  </si>
  <si>
    <t>Phase 5+</t>
  </si>
  <si>
    <t>M-L</t>
  </si>
  <si>
    <t>Dissolved</t>
  </si>
  <si>
    <t>Phase 4</t>
  </si>
  <si>
    <t>Parallel-eligible</t>
  </si>
  <si>
    <t>S</t>
  </si>
  <si>
    <t>XS</t>
  </si>
  <si>
    <t>Queued</t>
  </si>
  <si>
    <t>Phase 1 close</t>
  </si>
  <si>
    <t>Phase 1/2 boundary</t>
  </si>
  <si>
    <t>Follow-up</t>
  </si>
  <si>
    <t>XL</t>
  </si>
  <si>
    <t>Post-FL-A Ground Depth</t>
  </si>
  <si>
    <t>Ground Depth (post-FLA)</t>
  </si>
  <si>
    <t>S-M</t>
  </si>
  <si>
    <t>Phase UR</t>
  </si>
  <si>
    <t>Phase CM</t>
  </si>
  <si>
    <t>XS-S</t>
  </si>
  <si>
    <t>Audit-15 Corrected Program</t>
  </si>
  <si>
    <t>Engagement-Fidelity Track</t>
  </si>
  <si>
    <t>Project Roadmap Dashboard</t>
  </si>
  <si>
    <t>Project Info</t>
  </si>
  <si>
    <t>Project Name</t>
  </si>
  <si>
    <t>Roadmap Document</t>
  </si>
  <si>
    <t>Finish Line Target</t>
  </si>
  <si>
    <t>Current Phase</t>
  </si>
  <si>
    <t>Last Roadmap Review</t>
  </si>
  <si>
    <t>Pipeline Status</t>
  </si>
  <si>
    <t>Total sprints</t>
  </si>
  <si>
    <t>In Flight</t>
  </si>
  <si>
    <t>% Complete (by count)</t>
  </si>
  <si>
    <t>% Complete (by LOE)</t>
  </si>
  <si>
    <t>Status</t>
  </si>
  <si>
    <t>Pivot</t>
  </si>
  <si>
    <t>Priority</t>
  </si>
  <si>
    <t>PhaseRank</t>
  </si>
  <si>
    <t>LOEWeight</t>
  </si>
  <si>
    <t>Done?</t>
  </si>
  <si>
    <t>SizeRank</t>
  </si>
  <si>
    <t>SortKey</t>
  </si>
  <si>
    <t>Effort by LOE (points)</t>
  </si>
  <si>
    <t>Pts</t>
  </si>
  <si>
    <t>Remaining #</t>
  </si>
  <si>
    <t>Rem Pts</t>
  </si>
  <si>
    <t>Comp Pts</t>
  </si>
  <si>
    <t>Total</t>
  </si>
  <si>
    <t>Effort &amp; Progress</t>
  </si>
  <si>
    <t>LOE remaining (pts)</t>
  </si>
  <si>
    <t>LOE completed (pts)</t>
  </si>
  <si>
    <t>Total LOE (pts, excl. dissolved)</t>
  </si>
  <si>
    <t>Sprints remaining</t>
  </si>
  <si>
    <t>Avg sprint size (pts)</t>
  </si>
  <si>
    <t>Next Up — Active Queue (by Priority)</t>
  </si>
  <si>
    <t>Status Distribution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</si>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</sst>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FF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7" fillId="0" borderId="1" xfId="0" applyFont="1" applyBorder="1"/>
    <xf numFmtId="0" fontId="0" fillId="0" borderId="2" xfId="0" applyBorder="1"/>
    <xf numFmtId="0" fontId="8" fillId="0" borderId="2" xfId="0" applyFont="1" applyBorder="1"/>
    <xf numFmtId="0" fontId="7" fillId="0" borderId="3" xfId="0" applyFont="1" applyBorder="1"/>
    <xf numFmtId="0" fontId="0" fillId="0" borderId="3" xfId="0" applyBorder="1"/>
    <xf numFmtId="0" fontId="5" fillId="0" borderId="3" xfId="0" applyFont="1" applyBorder="1"/>
    <xf numFmtId="0" fontId="6" fillId="0" borderId="2" xfId="0" applyFont="1" applyBorder="1"/>
    <xf numFmtId="0" fontId="6" fillId="0" borderId="3" xfId="0" applyFont="1" applyBorder="1"/>
    <xf numFmtId="0" fontId="9" fillId="4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E4-42E8-ACFC-01DB0F4BBF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E4-42E8-ACFC-01DB0F4BBF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E4-42E8-ACFC-01DB0F4BBF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E4-42E8-ACFC-01DB0F4BBF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E4-42E8-ACFC-01DB0F4BBF53}"/>
              </c:ext>
            </c:extLst>
          </c:dPt>
          <c:cat>
            <c:strRef>
              <c:f>Dashboard!$D$23:$D$27</c:f>
              <c:strCache>
                <c:ptCount val="5"/>
                <c:pt idx="0">
                  <c:v>Completed</c:v>
                </c:pt>
                <c:pt idx="1">
                  <c:v>Blocked</c:v>
                </c:pt>
                <c:pt idx="2">
                  <c:v>Queued</c:v>
                </c:pt>
                <c:pt idx="3">
                  <c:v>Dissolved</c:v>
                </c:pt>
                <c:pt idx="4">
                  <c:v>Superseded</c:v>
                </c:pt>
              </c:strCache>
            </c:strRef>
          </c:cat>
          <c:val>
            <c:numRef>
              <c:f>Dashboard!$E$23:$E$27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6-4C62-8F76-C17BE313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142876</xdr:colOff>
      <xdr:row>27</xdr:row>
      <xdr:rowOff>38100</xdr:rowOff>
    </xdr:from>
    <xdr:to>
      <xdr:col>12</xdr:col>
      <xdr:colOff>142876</xdr:colOff>
      <xdr:row>40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0CC018-647B-1A52-89FA-48A30F702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8540D6-2439-41FD-9B33-E96149547310}" name="sprint_catalog" displayName="sprint_catalog" ref="A1:T2" totalsRowShown="0">
  <autoFilter ref="A1:T2" xr:uid="{948540D6-2439-41FD-9B33-E96149547310}"/>
  <tableColumns count="20">
    <tableColumn id="20" xr3:uid="{98F51DFD-9163-45C1-9368-38B301783951}" name="Priority" dataDxfId="19">
      <calculatedColumnFormula>IF($C2="","",IF($Q2=1,9999,1+COUNTIFS($Q$2:$Q$2,0,$T$2:$T$2,"&lt;"&amp;$T2)))</calculatedColumnFormula>
    </tableColumn>
    <tableColumn id="1" xr3:uid="{9468701C-CF4D-4802-AF8A-1083DF4188A4}" name="Seq"/>
    <tableColumn id="2" xr3:uid="{BBDB013C-FA41-4EFB-BAF7-44D0E8EA0E15}" name="Sprint Code" dataDxfId="18"/>
    <tableColumn id="3" xr3:uid="{B372AB2A-2211-400E-B93F-794FBE8FE33D}" name="Phase" dataDxfId="17"/>
    <tableColumn id="4" xr3:uid="{2891E0C8-CCB8-4484-A6E2-B0DC2C0DA4A5}" name="Stage" dataDxfId="16"/>
    <tableColumn id="5" xr3:uid="{59242403-288C-436F-941D-46384203DD5A}" name="Title" dataDxfId="15"/>
    <tableColumn id="6" xr3:uid="{598A29B4-3D57-4840-A2E1-05AB9DC091E4}" name="LOE" dataDxfId="14"/>
    <tableColumn id="7" xr3:uid="{70AD83D2-39B0-46C8-91EC-E1147A390776}" name="Dependencies" dataDxfId="13"/>
    <tableColumn id="8" xr3:uid="{6D7B97DA-FA0E-4692-A732-3B58856BD09E}" name="Implementation Status" dataDxfId="12"/>
    <tableColumn id="9" xr3:uid="{42991EBF-1B50-4557-A4E2-6FB6F3765E9D}" name="Written Status" dataDxfId="11"/>
    <tableColumn id="10" xr3:uid="{36258AA8-BFBA-4842-B42C-819F16DC4899}" name="Branch" dataDxfId="10"/>
    <tableColumn id="11" xr3:uid="{2429D1F0-CAFF-42D9-A09C-F91BBDFC8653}" name="Date Started" dataDxfId="9"/>
    <tableColumn id="12" xr3:uid="{90A03807-1234-41EC-AFA4-C4C309A6DB08}" name="Date Completed" dataDxfId="8"/>
    <tableColumn id="13" xr3:uid="{3BC3B766-DB20-4335-B945-9D9C6C95A074}" name="Close-Out File" dataDxfId="7"/>
    <tableColumn id="14" xr3:uid="{875C833B-A203-4341-9F7B-4F24D7DEC59D}" name="Description" dataDxfId="6"/>
    <tableColumn id="15" xr3:uid="{0EEB3A1D-050F-442C-9046-1BDE4FA550C9}" name="Notes" dataDxfId="5"/>
    <tableColumn id="16" xr3:uid="{179119BC-F1F3-48C8-9EB5-A2A0A3C47FB0}" name="Done?" dataDxfId="4">
      <calculatedColumnFormula>IF($C2="","",IF(OR(LEFT($I2,9)="Completed",$I2="Dissolved",$I2="Superseded"),1,0))</calculatedColumnFormula>
    </tableColumn>
    <tableColumn id="17" xr3:uid="{8780B200-8C4B-4C68-AD5B-07CA449C60C3}" name="PhaseRank" dataDxfId="3">
      <calculatedColumnFormula>IF($C2="","",IFERROR(VLOOKUP($D2,Variables!$C$2:$D$15,2,FALSE),50))</calculatedColumnFormula>
    </tableColumn>
    <tableColumn id="18" xr3:uid="{825DD241-F66B-4C36-985B-D858E245514F}" name="SizeRank" dataDxfId="2">
      <calculatedColumnFormula>IF($C2="","",IFERROR(VLOOKUP($G2,Variables!$F$2:$G$9,2,FALSE),8))</calculatedColumnFormula>
    </tableColumn>
    <tableColumn id="19" xr3:uid="{3AA7EA14-A584-48C9-8F80-22A96D6A6677}" name="SortKey" dataDxfId="1">
      <calculatedColumnFormula>IF($C2="","",(IF(ISNUMBER($B2),$B2,2000+$R2))*10000+$R2*100+$S2+ROW()*0.001)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2EBF5-49EB-4C4C-80EC-5356AB618277}" name="Status.Op" displayName="Status.Op" ref="A1:A7" totalsRowShown="0" headerRowDxfId="0">
  <autoFilter ref="A1:A7" xr:uid="{0CC2EBF5-49EB-4C4C-80EC-5356AB618277}"/>
  <tableColumns count="1">
    <tableColumn id="1" xr3:uid="{6A5996D3-4994-44EC-988E-51FCC633BC04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0BC0BBD-3F03-4BCF-AD68-5EB7777FBB7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e65044e7-04a9-46e0-82ea-544a2d3e600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00C8008-8AA6-4DCE-A2A9-AFBF5AE9ED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2c0b207-a0f4-4bb6-9bdc-75653aeb94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showGridLines="0" tabSelected="1" zoomScaleNormal="100" workbookViewId="0">
      <selection activeCell="C3" sqref="C3"/>
    </sheetView>
  </sheetViews>
  <sheetFormatPr defaultColWidth="8.7109375" defaultRowHeight="15" x14ac:dyDescent="0.25"/>
  <cols>
    <col min="1" max="1" width="36.140625" customWidth="1"/>
    <col min="2" max="2" width="28.5703125" customWidth="1"/>
    <col min="3" max="3" width="45.7109375" customWidth="1"/>
    <col min="4" max="4" width="18.140625" customWidth="1"/>
    <col min="5" max="5" width="14.28515625" customWidth="1"/>
    <col min="6" max="6" width="21" customWidth="1"/>
    <col min="7" max="7" width="14.28515625" customWidth="1"/>
    <col min="8" max="8" width="15.28515625" customWidth="1"/>
  </cols>
  <sheetData>
    <row r="1" spans="1:8" ht="31.5" customHeight="1" x14ac:dyDescent="0.35">
      <c r="A1" s="18" t="s">
        <v>41</v>
      </c>
      <c r="B1" s="18"/>
      <c r="C1" s="18"/>
      <c r="D1" s="18"/>
      <c r="E1" s="18"/>
      <c r="F1" s="18"/>
    </row>
    <row r="3" spans="1:8" ht="15" customHeight="1" x14ac:dyDescent="0.25">
      <c r="A3" s="19" t="s">
        <v>42</v>
      </c>
      <c r="B3" s="19"/>
    </row>
    <row r="4" spans="1:8" ht="15" customHeight="1" x14ac:dyDescent="0.25">
      <c r="A4" s="5" t="s">
        <v>43</v>
      </c>
      <c r="B4" s="1"/>
    </row>
    <row r="5" spans="1:8" ht="15" customHeight="1" x14ac:dyDescent="0.25">
      <c r="A5" s="5" t="s">
        <v>44</v>
      </c>
      <c r="B5" s="1"/>
    </row>
    <row r="6" spans="1:8" ht="15" customHeight="1" x14ac:dyDescent="0.25">
      <c r="A6" s="5" t="s">
        <v>45</v>
      </c>
      <c r="B6" s="1"/>
    </row>
    <row r="7" spans="1:8" ht="15" customHeight="1" x14ac:dyDescent="0.25">
      <c r="A7" s="5" t="s">
        <v>46</v>
      </c>
      <c r="B7" s="1"/>
    </row>
    <row r="8" spans="1:8" ht="15" customHeight="1" x14ac:dyDescent="0.25">
      <c r="A8" s="5" t="s">
        <v>47</v>
      </c>
      <c r="B8" s="6"/>
    </row>
    <row r="10" spans="1:8" ht="15" customHeight="1" x14ac:dyDescent="0.25">
      <c r="A10" s="19" t="s">
        <v>48</v>
      </c>
      <c r="B10" s="19"/>
      <c r="D10" s="19" t="s">
        <v>61</v>
      </c>
      <c r="E10" s="19"/>
      <c r="F10" s="19"/>
      <c r="G10" s="19"/>
      <c r="H10" s="19"/>
    </row>
    <row r="11" spans="1:8" ht="15" customHeight="1" x14ac:dyDescent="0.25">
      <c r="A11" s="5" t="s">
        <v>49</v>
      </c>
      <c r="B11">
        <f>COUNTA('DATA.sprint-catalog'!B:B)-1</f>
        <v>1</v>
      </c>
      <c r="D11" s="9" t="s">
        <v>5</v>
      </c>
      <c r="E11" s="9" t="s">
        <v>62</v>
      </c>
      <c r="F11" s="9" t="s">
        <v>63</v>
      </c>
      <c r="G11" s="9" t="s">
        <v>64</v>
      </c>
      <c r="H11" s="9" t="s">
        <v>65</v>
      </c>
    </row>
    <row r="12" spans="1:8" ht="15" customHeight="1" x14ac:dyDescent="0.25">
      <c r="A12" s="5" t="s">
        <v>17</v>
      </c>
      <c r="B12">
        <f>COUNTIF('DATA.sprint-catalog'!H:H,"Completed*")</f>
        <v>0</v>
      </c>
      <c r="D12" s="10" t="s">
        <v>27</v>
      </c>
      <c r="E12" s="11">
        <v>0.5</v>
      </c>
      <c r="F12" s="10">
        <f>COUNTIFS('DATA.sprint-catalog'!$F:$F,$D12,'DATA.sprint-catalog'!$P:$P,0)</f>
        <v>0</v>
      </c>
      <c r="G12" s="10">
        <f>F12*E12</f>
        <v>0</v>
      </c>
      <c r="H12" s="10">
        <f>COUNTIFS('DATA.sprint-catalog'!$F:$F,$D12,'DATA.sprint-catalog'!$H:$H,"Completed*")*E12</f>
        <v>0</v>
      </c>
    </row>
    <row r="13" spans="1:8" ht="15" customHeight="1" x14ac:dyDescent="0.25">
      <c r="A13" s="5" t="s">
        <v>19</v>
      </c>
      <c r="B13">
        <f>COUNTIF('DATA.sprint-catalog'!H:H,"Blocked")</f>
        <v>0</v>
      </c>
      <c r="D13" s="10" t="s">
        <v>38</v>
      </c>
      <c r="E13" s="11">
        <v>0.75</v>
      </c>
      <c r="F13" s="10">
        <f>COUNTIFS('DATA.sprint-catalog'!$F:$F,$D13,'DATA.sprint-catalog'!$P:$P,0)</f>
        <v>0</v>
      </c>
      <c r="G13" s="10">
        <f t="shared" ref="G13:G19" si="0">F13*E13</f>
        <v>0</v>
      </c>
      <c r="H13" s="10">
        <f>COUNTIFS('DATA.sprint-catalog'!$F:$F,$D13,'DATA.sprint-catalog'!$H:$H,"Completed*")*E13</f>
        <v>0</v>
      </c>
    </row>
    <row r="14" spans="1:8" ht="15" customHeight="1" x14ac:dyDescent="0.25">
      <c r="A14" s="5" t="s">
        <v>28</v>
      </c>
      <c r="B14">
        <f>COUNTIF('DATA.sprint-catalog'!H:H,"Queued")</f>
        <v>0</v>
      </c>
      <c r="D14" s="10" t="s">
        <v>26</v>
      </c>
      <c r="E14" s="11">
        <v>1</v>
      </c>
      <c r="F14" s="10">
        <f>COUNTIFS('DATA.sprint-catalog'!$F:$F,$D14,'DATA.sprint-catalog'!$P:$P,0)</f>
        <v>0</v>
      </c>
      <c r="G14" s="10">
        <f t="shared" si="0"/>
        <v>0</v>
      </c>
      <c r="H14" s="10">
        <f>COUNTIFS('DATA.sprint-catalog'!$F:$F,$D14,'DATA.sprint-catalog'!$H:$H,"Completed*")*E14</f>
        <v>0</v>
      </c>
    </row>
    <row r="15" spans="1:8" ht="15" customHeight="1" x14ac:dyDescent="0.25">
      <c r="A15" s="5" t="s">
        <v>50</v>
      </c>
      <c r="B15">
        <f>COUNTIF('DATA.sprint-catalog'!H:H,"In Flight")</f>
        <v>0</v>
      </c>
      <c r="D15" s="10" t="s">
        <v>35</v>
      </c>
      <c r="E15" s="11">
        <v>2</v>
      </c>
      <c r="F15" s="10">
        <f>COUNTIFS('DATA.sprint-catalog'!$F:$F,$D15,'DATA.sprint-catalog'!$P:$P,0)</f>
        <v>0</v>
      </c>
      <c r="G15" s="10">
        <f t="shared" si="0"/>
        <v>0</v>
      </c>
      <c r="H15" s="10">
        <f>COUNTIFS('DATA.sprint-catalog'!$F:$F,$D15,'DATA.sprint-catalog'!$H:$H,"Completed*")*E15</f>
        <v>0</v>
      </c>
    </row>
    <row r="16" spans="1:8" ht="15" customHeight="1" x14ac:dyDescent="0.25">
      <c r="A16" s="5" t="s">
        <v>23</v>
      </c>
      <c r="B16">
        <f>COUNTIF('DATA.sprint-catalog'!H:H,"Dissolved")</f>
        <v>0</v>
      </c>
      <c r="D16" s="10" t="s">
        <v>18</v>
      </c>
      <c r="E16" s="11">
        <v>3</v>
      </c>
      <c r="F16" s="10">
        <f>COUNTIFS('DATA.sprint-catalog'!$F:$F,$D16,'DATA.sprint-catalog'!$P:$P,0)</f>
        <v>0</v>
      </c>
      <c r="G16" s="10">
        <f t="shared" si="0"/>
        <v>0</v>
      </c>
      <c r="H16" s="10">
        <f>COUNTIFS('DATA.sprint-catalog'!$F:$F,$D16,'DATA.sprint-catalog'!$H:$H,"Completed*")*E16</f>
        <v>0</v>
      </c>
    </row>
    <row r="17" spans="1:8" ht="15" customHeight="1" x14ac:dyDescent="0.25">
      <c r="A17" s="5" t="s">
        <v>20</v>
      </c>
      <c r="B17">
        <f>COUNTIF('DATA.sprint-catalog'!H:H,"Superseded")</f>
        <v>0</v>
      </c>
      <c r="D17" s="10" t="s">
        <v>22</v>
      </c>
      <c r="E17" s="11">
        <v>5</v>
      </c>
      <c r="F17" s="10">
        <f>COUNTIFS('DATA.sprint-catalog'!$F:$F,$D17,'DATA.sprint-catalog'!$P:$P,0)</f>
        <v>0</v>
      </c>
      <c r="G17" s="10">
        <f t="shared" si="0"/>
        <v>0</v>
      </c>
      <c r="H17" s="10">
        <f>COUNTIFS('DATA.sprint-catalog'!$F:$F,$D17,'DATA.sprint-catalog'!$H:$H,"Completed*")*E17</f>
        <v>0</v>
      </c>
    </row>
    <row r="18" spans="1:8" x14ac:dyDescent="0.25">
      <c r="A18" s="5" t="s">
        <v>51</v>
      </c>
      <c r="B18" s="7">
        <f>IFERROR(B12/(B11-B16-B17),0)</f>
        <v>0</v>
      </c>
      <c r="D18" s="10" t="s">
        <v>16</v>
      </c>
      <c r="E18" s="11">
        <v>8</v>
      </c>
      <c r="F18" s="10">
        <f>COUNTIFS('DATA.sprint-catalog'!$F:$F,$D18,'DATA.sprint-catalog'!$P:$P,0)</f>
        <v>0</v>
      </c>
      <c r="G18" s="10">
        <f t="shared" si="0"/>
        <v>0</v>
      </c>
      <c r="H18" s="10">
        <f>COUNTIFS('DATA.sprint-catalog'!$F:$F,$D18,'DATA.sprint-catalog'!$H:$H,"Completed*")*E18</f>
        <v>0</v>
      </c>
    </row>
    <row r="19" spans="1:8" ht="15" customHeight="1" x14ac:dyDescent="0.25">
      <c r="D19" s="10" t="s">
        <v>32</v>
      </c>
      <c r="E19" s="11">
        <v>20</v>
      </c>
      <c r="F19" s="10">
        <f>COUNTIFS('DATA.sprint-catalog'!$F:$F,$D19,'DATA.sprint-catalog'!$P:$P,0)</f>
        <v>0</v>
      </c>
      <c r="G19" s="10">
        <f t="shared" si="0"/>
        <v>0</v>
      </c>
      <c r="H19" s="10">
        <f>COUNTIFS('DATA.sprint-catalog'!$F:$F,$D19,'DATA.sprint-catalog'!$H:$H,"Completed*")*E19</f>
        <v>0</v>
      </c>
    </row>
    <row r="20" spans="1:8" ht="15" customHeight="1" x14ac:dyDescent="0.25">
      <c r="A20" s="19" t="s">
        <v>67</v>
      </c>
      <c r="B20" s="19"/>
      <c r="D20" s="12" t="s">
        <v>66</v>
      </c>
      <c r="E20" s="13"/>
      <c r="F20" s="14">
        <f>SUM(F12:F19)</f>
        <v>0</v>
      </c>
      <c r="G20" s="14">
        <f>SUM(G12:G19)</f>
        <v>0</v>
      </c>
      <c r="H20" s="14">
        <f>SUM(H12:H19)</f>
        <v>0</v>
      </c>
    </row>
    <row r="21" spans="1:8" ht="15" customHeight="1" x14ac:dyDescent="0.25">
      <c r="A21" s="5" t="s">
        <v>68</v>
      </c>
      <c r="B21">
        <f>G20</f>
        <v>0</v>
      </c>
    </row>
    <row r="22" spans="1:8" ht="15" customHeight="1" x14ac:dyDescent="0.25">
      <c r="A22" s="5" t="s">
        <v>69</v>
      </c>
      <c r="B22">
        <f>H20</f>
        <v>0</v>
      </c>
      <c r="D22" s="19" t="s">
        <v>74</v>
      </c>
      <c r="E22" s="19"/>
    </row>
    <row r="23" spans="1:8" ht="15" customHeight="1" x14ac:dyDescent="0.25">
      <c r="A23" s="5" t="s">
        <v>70</v>
      </c>
      <c r="B23">
        <f>B21+B22</f>
        <v>0</v>
      </c>
      <c r="D23" s="5" t="s">
        <v>17</v>
      </c>
      <c r="E23" s="5">
        <f>B12</f>
        <v>0</v>
      </c>
    </row>
    <row r="24" spans="1:8" ht="15" customHeight="1" x14ac:dyDescent="0.25">
      <c r="A24" s="5" t="s">
        <v>52</v>
      </c>
      <c r="B24" s="7">
        <f>IFERROR(B22/B23,0)</f>
        <v>0</v>
      </c>
      <c r="D24" s="4" t="s">
        <v>19</v>
      </c>
      <c r="E24">
        <f>B13</f>
        <v>0</v>
      </c>
    </row>
    <row r="25" spans="1:8" ht="15" customHeight="1" x14ac:dyDescent="0.25">
      <c r="A25" s="5" t="s">
        <v>71</v>
      </c>
      <c r="B25">
        <f>B13+B14+B15</f>
        <v>0</v>
      </c>
      <c r="D25" s="4" t="s">
        <v>28</v>
      </c>
      <c r="E25">
        <f>B14</f>
        <v>0</v>
      </c>
    </row>
    <row r="26" spans="1:8" x14ac:dyDescent="0.25">
      <c r="A26" s="5" t="s">
        <v>72</v>
      </c>
      <c r="B26" s="8">
        <f>IFERROR(B23/(B11-B16-B17),0)</f>
        <v>0</v>
      </c>
      <c r="D26" s="4" t="s">
        <v>23</v>
      </c>
      <c r="E26">
        <f>B16</f>
        <v>0</v>
      </c>
    </row>
    <row r="27" spans="1:8" ht="15" customHeight="1" x14ac:dyDescent="0.25">
      <c r="D27" s="4" t="s">
        <v>20</v>
      </c>
      <c r="E27">
        <f>B17</f>
        <v>0</v>
      </c>
    </row>
    <row r="28" spans="1:8" ht="15" customHeight="1" x14ac:dyDescent="0.25">
      <c r="A28" s="19" t="s">
        <v>73</v>
      </c>
      <c r="B28" s="19"/>
      <c r="C28" s="19"/>
      <c r="D28" s="19"/>
      <c r="E28" s="19"/>
      <c r="F28" s="19"/>
    </row>
    <row r="29" spans="1:8" ht="15" customHeight="1" x14ac:dyDescent="0.25">
      <c r="A29" s="9" t="s">
        <v>55</v>
      </c>
      <c r="B29" s="9" t="s">
        <v>1</v>
      </c>
      <c r="C29" s="9" t="s">
        <v>2</v>
      </c>
      <c r="D29" s="9" t="s">
        <v>3</v>
      </c>
      <c r="E29" s="9" t="s">
        <v>5</v>
      </c>
      <c r="F29" s="9" t="s">
        <v>53</v>
      </c>
    </row>
    <row r="30" spans="1:8" ht="15" customHeight="1" x14ac:dyDescent="0.25">
      <c r="A30" s="15">
        <f>ROW()-29</f>
        <v>1</v>
      </c>
      <c r="B30" s="10" t="str">
        <f>IFERROR(_xlfn.XLOOKUP($A30,'DATA.sprint-catalog'!$T:$T,'DATA.sprint-catalog'!$B:$B,""),"")</f>
        <v/>
      </c>
      <c r="C30" s="10" t="str">
        <f>IFERROR(_xlfn.XLOOKUP($A30,'DATA.sprint-catalog'!$T:$T,'DATA.sprint-catalog'!$E:$E,""),"")</f>
        <v/>
      </c>
      <c r="D30" s="10" t="str">
        <f>IFERROR(_xlfn.XLOOKUP($A30,'DATA.sprint-catalog'!$T:$T,'DATA.sprint-catalog'!$C:$C,""),"")</f>
        <v/>
      </c>
      <c r="E30" s="10" t="str">
        <f>IFERROR(_xlfn.XLOOKUP($A30,'DATA.sprint-catalog'!$T:$T,'DATA.sprint-catalog'!$F:$F,""),"")</f>
        <v/>
      </c>
      <c r="F30" s="10" t="str">
        <f>IFERROR(_xlfn.XLOOKUP($A30,'DATA.sprint-catalog'!$T:$T,'DATA.sprint-catalog'!$H:$H,""),"")</f>
        <v/>
      </c>
    </row>
    <row r="31" spans="1:8" ht="15" customHeight="1" x14ac:dyDescent="0.25">
      <c r="A31" s="15">
        <f t="shared" ref="A31:A41" si="1">ROW()-29</f>
        <v>2</v>
      </c>
      <c r="B31" s="10" t="str">
        <f>IFERROR(_xlfn.XLOOKUP($A31,'DATA.sprint-catalog'!$T:$T,'DATA.sprint-catalog'!$B:$B,""),"")</f>
        <v/>
      </c>
      <c r="C31" s="10" t="str">
        <f>IFERROR(_xlfn.XLOOKUP($A31,'DATA.sprint-catalog'!$T:$T,'DATA.sprint-catalog'!$E:$E,""),"")</f>
        <v/>
      </c>
      <c r="D31" s="10" t="str">
        <f>IFERROR(_xlfn.XLOOKUP($A31,'DATA.sprint-catalog'!$T:$T,'DATA.sprint-catalog'!$C:$C,""),"")</f>
        <v/>
      </c>
      <c r="E31" s="10" t="str">
        <f>IFERROR(_xlfn.XLOOKUP($A31,'DATA.sprint-catalog'!$T:$T,'DATA.sprint-catalog'!$F:$F,""),"")</f>
        <v/>
      </c>
      <c r="F31" s="10" t="str">
        <f>IFERROR(_xlfn.XLOOKUP($A31,'DATA.sprint-catalog'!$T:$T,'DATA.sprint-catalog'!$H:$H,""),"")</f>
        <v/>
      </c>
    </row>
    <row r="32" spans="1:8" ht="15" customHeight="1" x14ac:dyDescent="0.25">
      <c r="A32" s="15">
        <f t="shared" si="1"/>
        <v>3</v>
      </c>
      <c r="B32" s="10" t="str">
        <f>IFERROR(_xlfn.XLOOKUP($A32,'DATA.sprint-catalog'!$T:$T,'DATA.sprint-catalog'!$B:$B,""),"")</f>
        <v/>
      </c>
      <c r="C32" s="10" t="str">
        <f>IFERROR(_xlfn.XLOOKUP($A32,'DATA.sprint-catalog'!$T:$T,'DATA.sprint-catalog'!$E:$E,""),"")</f>
        <v/>
      </c>
      <c r="D32" s="10" t="str">
        <f>IFERROR(_xlfn.XLOOKUP($A32,'DATA.sprint-catalog'!$T:$T,'DATA.sprint-catalog'!$C:$C,""),"")</f>
        <v/>
      </c>
      <c r="E32" s="10" t="str">
        <f>IFERROR(_xlfn.XLOOKUP($A32,'DATA.sprint-catalog'!$T:$T,'DATA.sprint-catalog'!$F:$F,""),"")</f>
        <v/>
      </c>
      <c r="F32" s="10" t="str">
        <f>IFERROR(_xlfn.XLOOKUP($A32,'DATA.sprint-catalog'!$T:$T,'DATA.sprint-catalog'!$H:$H,""),"")</f>
        <v/>
      </c>
    </row>
    <row r="33" spans="1:6" x14ac:dyDescent="0.25">
      <c r="A33" s="15">
        <f t="shared" si="1"/>
        <v>4</v>
      </c>
      <c r="B33" s="10" t="str">
        <f>IFERROR(_xlfn.XLOOKUP($A33,'DATA.sprint-catalog'!$T:$T,'DATA.sprint-catalog'!$B:$B,""),"")</f>
        <v/>
      </c>
      <c r="C33" s="10" t="str">
        <f>IFERROR(_xlfn.XLOOKUP($A33,'DATA.sprint-catalog'!$T:$T,'DATA.sprint-catalog'!$E:$E,""),"")</f>
        <v/>
      </c>
      <c r="D33" s="10" t="str">
        <f>IFERROR(_xlfn.XLOOKUP($A33,'DATA.sprint-catalog'!$T:$T,'DATA.sprint-catalog'!$C:$C,""),"")</f>
        <v/>
      </c>
      <c r="E33" s="10" t="str">
        <f>IFERROR(_xlfn.XLOOKUP($A33,'DATA.sprint-catalog'!$T:$T,'DATA.sprint-catalog'!$F:$F,""),"")</f>
        <v/>
      </c>
      <c r="F33" s="10" t="str">
        <f>IFERROR(_xlfn.XLOOKUP($A33,'DATA.sprint-catalog'!$T:$T,'DATA.sprint-catalog'!$H:$H,""),"")</f>
        <v/>
      </c>
    </row>
    <row r="34" spans="1:6" ht="15" customHeight="1" x14ac:dyDescent="0.25">
      <c r="A34" s="15">
        <f t="shared" si="1"/>
        <v>5</v>
      </c>
      <c r="B34" s="10" t="str">
        <f>IFERROR(_xlfn.XLOOKUP($A34,'DATA.sprint-catalog'!$T:$T,'DATA.sprint-catalog'!$B:$B,""),"")</f>
        <v/>
      </c>
      <c r="C34" s="10" t="str">
        <f>IFERROR(_xlfn.XLOOKUP($A34,'DATA.sprint-catalog'!$T:$T,'DATA.sprint-catalog'!$E:$E,""),"")</f>
        <v/>
      </c>
      <c r="D34" s="10" t="str">
        <f>IFERROR(_xlfn.XLOOKUP($A34,'DATA.sprint-catalog'!$T:$T,'DATA.sprint-catalog'!$C:$C,""),"")</f>
        <v/>
      </c>
      <c r="E34" s="10" t="str">
        <f>IFERROR(_xlfn.XLOOKUP($A34,'DATA.sprint-catalog'!$T:$T,'DATA.sprint-catalog'!$F:$F,""),"")</f>
        <v/>
      </c>
      <c r="F34" s="10" t="str">
        <f>IFERROR(_xlfn.XLOOKUP($A34,'DATA.sprint-catalog'!$T:$T,'DATA.sprint-catalog'!$H:$H,""),"")</f>
        <v/>
      </c>
    </row>
    <row r="35" spans="1:6" ht="15" customHeight="1" x14ac:dyDescent="0.25">
      <c r="A35" s="15">
        <f t="shared" si="1"/>
        <v>6</v>
      </c>
      <c r="B35" s="10" t="str">
        <f>IFERROR(_xlfn.XLOOKUP($A35,'DATA.sprint-catalog'!$T:$T,'DATA.sprint-catalog'!$B:$B,""),"")</f>
        <v/>
      </c>
      <c r="C35" s="10" t="str">
        <f>IFERROR(_xlfn.XLOOKUP($A35,'DATA.sprint-catalog'!$T:$T,'DATA.sprint-catalog'!$E:$E,""),"")</f>
        <v/>
      </c>
      <c r="D35" s="10" t="str">
        <f>IFERROR(_xlfn.XLOOKUP($A35,'DATA.sprint-catalog'!$T:$T,'DATA.sprint-catalog'!$C:$C,""),"")</f>
        <v/>
      </c>
      <c r="E35" s="10" t="str">
        <f>IFERROR(_xlfn.XLOOKUP($A35,'DATA.sprint-catalog'!$T:$T,'DATA.sprint-catalog'!$F:$F,""),"")</f>
        <v/>
      </c>
      <c r="F35" s="10" t="str">
        <f>IFERROR(_xlfn.XLOOKUP($A35,'DATA.sprint-catalog'!$T:$T,'DATA.sprint-catalog'!$H:$H,""),"")</f>
        <v/>
      </c>
    </row>
    <row r="36" spans="1:6" ht="15" customHeight="1" x14ac:dyDescent="0.25">
      <c r="A36" s="15">
        <f t="shared" si="1"/>
        <v>7</v>
      </c>
      <c r="B36" s="10" t="str">
        <f>IFERROR(_xlfn.XLOOKUP($A36,'DATA.sprint-catalog'!$T:$T,'DATA.sprint-catalog'!$B:$B,""),"")</f>
        <v/>
      </c>
      <c r="C36" s="10" t="str">
        <f>IFERROR(_xlfn.XLOOKUP($A36,'DATA.sprint-catalog'!$T:$T,'DATA.sprint-catalog'!$E:$E,""),"")</f>
        <v/>
      </c>
      <c r="D36" s="10" t="str">
        <f>IFERROR(_xlfn.XLOOKUP($A36,'DATA.sprint-catalog'!$T:$T,'DATA.sprint-catalog'!$C:$C,""),"")</f>
        <v/>
      </c>
      <c r="E36" s="10" t="str">
        <f>IFERROR(_xlfn.XLOOKUP($A36,'DATA.sprint-catalog'!$T:$T,'DATA.sprint-catalog'!$F:$F,""),"")</f>
        <v/>
      </c>
      <c r="F36" s="10" t="str">
        <f>IFERROR(_xlfn.XLOOKUP($A36,'DATA.sprint-catalog'!$T:$T,'DATA.sprint-catalog'!$H:$H,""),"")</f>
        <v/>
      </c>
    </row>
    <row r="37" spans="1:6" ht="15" customHeight="1" x14ac:dyDescent="0.25">
      <c r="A37" s="15">
        <f t="shared" si="1"/>
        <v>8</v>
      </c>
      <c r="B37" s="10" t="str">
        <f>IFERROR(_xlfn.XLOOKUP($A37,'DATA.sprint-catalog'!$T:$T,'DATA.sprint-catalog'!$B:$B,""),"")</f>
        <v/>
      </c>
      <c r="C37" s="10" t="str">
        <f>IFERROR(_xlfn.XLOOKUP($A37,'DATA.sprint-catalog'!$T:$T,'DATA.sprint-catalog'!$E:$E,""),"")</f>
        <v/>
      </c>
      <c r="D37" s="10" t="str">
        <f>IFERROR(_xlfn.XLOOKUP($A37,'DATA.sprint-catalog'!$T:$T,'DATA.sprint-catalog'!$C:$C,""),"")</f>
        <v/>
      </c>
      <c r="E37" s="10" t="str">
        <f>IFERROR(_xlfn.XLOOKUP($A37,'DATA.sprint-catalog'!$T:$T,'DATA.sprint-catalog'!$F:$F,""),"")</f>
        <v/>
      </c>
      <c r="F37" s="10" t="str">
        <f>IFERROR(_xlfn.XLOOKUP($A37,'DATA.sprint-catalog'!$T:$T,'DATA.sprint-catalog'!$H:$H,""),"")</f>
        <v/>
      </c>
    </row>
    <row r="38" spans="1:6" ht="15" customHeight="1" x14ac:dyDescent="0.25">
      <c r="A38" s="15">
        <f t="shared" si="1"/>
        <v>9</v>
      </c>
      <c r="B38" s="10" t="str">
        <f>IFERROR(_xlfn.XLOOKUP($A38,'DATA.sprint-catalog'!$T:$T,'DATA.sprint-catalog'!$B:$B,""),"")</f>
        <v/>
      </c>
      <c r="C38" s="10" t="str">
        <f>IFERROR(_xlfn.XLOOKUP($A38,'DATA.sprint-catalog'!$T:$T,'DATA.sprint-catalog'!$E:$E,""),"")</f>
        <v/>
      </c>
      <c r="D38" s="10" t="str">
        <f>IFERROR(_xlfn.XLOOKUP($A38,'DATA.sprint-catalog'!$T:$T,'DATA.sprint-catalog'!$C:$C,""),"")</f>
        <v/>
      </c>
      <c r="E38" s="10" t="str">
        <f>IFERROR(_xlfn.XLOOKUP($A38,'DATA.sprint-catalog'!$T:$T,'DATA.sprint-catalog'!$F:$F,""),"")</f>
        <v/>
      </c>
      <c r="F38" s="10" t="str">
        <f>IFERROR(_xlfn.XLOOKUP($A38,'DATA.sprint-catalog'!$T:$T,'DATA.sprint-catalog'!$H:$H,""),"")</f>
        <v/>
      </c>
    </row>
    <row r="39" spans="1:6" x14ac:dyDescent="0.25">
      <c r="A39" s="15">
        <f t="shared" si="1"/>
        <v>10</v>
      </c>
      <c r="B39" s="10" t="str">
        <f>IFERROR(_xlfn.XLOOKUP($A39,'DATA.sprint-catalog'!$T:$T,'DATA.sprint-catalog'!$B:$B,""),"")</f>
        <v/>
      </c>
      <c r="C39" s="10" t="str">
        <f>IFERROR(_xlfn.XLOOKUP($A39,'DATA.sprint-catalog'!$T:$T,'DATA.sprint-catalog'!$E:$E,""),"")</f>
        <v/>
      </c>
      <c r="D39" s="10" t="str">
        <f>IFERROR(_xlfn.XLOOKUP($A39,'DATA.sprint-catalog'!$T:$T,'DATA.sprint-catalog'!$C:$C,""),"")</f>
        <v/>
      </c>
      <c r="E39" s="10" t="str">
        <f>IFERROR(_xlfn.XLOOKUP($A39,'DATA.sprint-catalog'!$T:$T,'DATA.sprint-catalog'!$F:$F,""),"")</f>
        <v/>
      </c>
      <c r="F39" s="10" t="str">
        <f>IFERROR(_xlfn.XLOOKUP($A39,'DATA.sprint-catalog'!$T:$T,'DATA.sprint-catalog'!$H:$H,""),"")</f>
        <v/>
      </c>
    </row>
    <row r="40" spans="1:6" x14ac:dyDescent="0.25">
      <c r="A40" s="15">
        <f t="shared" si="1"/>
        <v>11</v>
      </c>
      <c r="B40" s="10" t="str">
        <f>IFERROR(_xlfn.XLOOKUP($A40,'DATA.sprint-catalog'!$T:$T,'DATA.sprint-catalog'!$B:$B,""),"")</f>
        <v/>
      </c>
      <c r="C40" s="10" t="str">
        <f>IFERROR(_xlfn.XLOOKUP($A40,'DATA.sprint-catalog'!$T:$T,'DATA.sprint-catalog'!$E:$E,""),"")</f>
        <v/>
      </c>
      <c r="D40" s="10" t="str">
        <f>IFERROR(_xlfn.XLOOKUP($A40,'DATA.sprint-catalog'!$T:$T,'DATA.sprint-catalog'!$C:$C,""),"")</f>
        <v/>
      </c>
      <c r="E40" s="10" t="str">
        <f>IFERROR(_xlfn.XLOOKUP($A40,'DATA.sprint-catalog'!$T:$T,'DATA.sprint-catalog'!$F:$F,""),"")</f>
        <v/>
      </c>
      <c r="F40" s="10" t="str">
        <f>IFERROR(_xlfn.XLOOKUP($A40,'DATA.sprint-catalog'!$T:$T,'DATA.sprint-catalog'!$H:$H,""),"")</f>
        <v/>
      </c>
    </row>
    <row r="41" spans="1:6" x14ac:dyDescent="0.25">
      <c r="A41" s="16">
        <f t="shared" si="1"/>
        <v>12</v>
      </c>
      <c r="B41" s="10" t="str">
        <f>IFERROR(_xlfn.XLOOKUP($A41,'DATA.sprint-catalog'!$T:$T,'DATA.sprint-catalog'!$B:$B,""),"")</f>
        <v/>
      </c>
      <c r="C41" s="10" t="str">
        <f>IFERROR(_xlfn.XLOOKUP($A41,'DATA.sprint-catalog'!$T:$T,'DATA.sprint-catalog'!$E:$E,""),"")</f>
        <v/>
      </c>
      <c r="D41" s="10" t="str">
        <f>IFERROR(_xlfn.XLOOKUP($A41,'DATA.sprint-catalog'!$T:$T,'DATA.sprint-catalog'!$C:$C,""),"")</f>
        <v/>
      </c>
      <c r="E41" s="10" t="str">
        <f>IFERROR(_xlfn.XLOOKUP($A41,'DATA.sprint-catalog'!$T:$T,'DATA.sprint-catalog'!$F:$F,""),"")</f>
        <v/>
      </c>
      <c r="F41" s="10" t="str">
        <f>IFERROR(_xlfn.XLOOKUP($A41,'DATA.sprint-catalog'!$T:$T,'DATA.sprint-catalog'!$H:$H,""),"")</f>
        <v/>
      </c>
    </row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7">
    <mergeCell ref="A1:F1"/>
    <mergeCell ref="A3:B3"/>
    <mergeCell ref="A10:B10"/>
    <mergeCell ref="A20:B20"/>
    <mergeCell ref="A28:F28"/>
    <mergeCell ref="D10:H10"/>
    <mergeCell ref="D22:E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EA6A-3BF4-4F75-87BF-CBD840BF2F74}">
  <dimension ref="A1:T2"/>
  <sheetViews>
    <sheetView workbookViewId="0">
      <selection activeCell="I11" sqref="I11"/>
    </sheetView>
  </sheetViews>
  <sheetFormatPr defaultColWidth="255.5703125" defaultRowHeight="15" x14ac:dyDescent="0.25"/>
  <cols>
    <col min="1" max="1" width="9.85546875" bestFit="1" customWidth="1"/>
    <col min="2" max="2" width="6.5703125" bestFit="1" customWidth="1"/>
    <col min="3" max="3" width="13.5703125" bestFit="1" customWidth="1"/>
    <col min="4" max="4" width="8.5703125" bestFit="1" customWidth="1"/>
    <col min="5" max="5" width="8.140625" bestFit="1" customWidth="1"/>
    <col min="6" max="6" width="7.28515625" bestFit="1" customWidth="1"/>
    <col min="7" max="7" width="6.5703125" bestFit="1" customWidth="1"/>
    <col min="8" max="8" width="16.140625" bestFit="1" customWidth="1"/>
    <col min="9" max="9" width="24" bestFit="1" customWidth="1"/>
    <col min="10" max="10" width="16.28515625" bestFit="1" customWidth="1"/>
    <col min="11" max="11" width="9.28515625" bestFit="1" customWidth="1"/>
    <col min="12" max="12" width="14.28515625" bestFit="1" customWidth="1"/>
    <col min="13" max="13" width="17.85546875" bestFit="1" customWidth="1"/>
    <col min="14" max="14" width="16" bestFit="1" customWidth="1"/>
    <col min="15" max="15" width="13.42578125" bestFit="1" customWidth="1"/>
    <col min="16" max="16" width="8.5703125" bestFit="1" customWidth="1"/>
    <col min="17" max="17" width="9" bestFit="1" customWidth="1"/>
    <col min="18" max="18" width="12.85546875" bestFit="1" customWidth="1"/>
    <col min="19" max="19" width="11.140625" bestFit="1" customWidth="1"/>
    <col min="20" max="20" width="10.140625" bestFit="1" customWidth="1"/>
  </cols>
  <sheetData>
    <row r="1" spans="1:20" x14ac:dyDescent="0.25">
      <c r="A1" s="17" t="s">
        <v>55</v>
      </c>
      <c r="B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9</v>
      </c>
      <c r="P1" t="s">
        <v>14</v>
      </c>
      <c r="Q1" s="17" t="s">
        <v>58</v>
      </c>
      <c r="R1" s="17" t="s">
        <v>56</v>
      </c>
      <c r="S1" s="17" t="s">
        <v>59</v>
      </c>
      <c r="T1" s="17" t="s">
        <v>60</v>
      </c>
    </row>
    <row r="2" spans="1:20" x14ac:dyDescent="0.25">
      <c r="A2">
        <f>IF($C2="","",IF($Q2=1,9999,1+COUNTIFS($Q$2:$Q$2,0,$T$2:$T$2,"&lt;"&amp;$T2)))</f>
        <v>1</v>
      </c>
      <c r="B2">
        <v>1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75</v>
      </c>
      <c r="Q2">
        <f t="shared" ref="Q2" si="0">IF($C2="","",IF(OR(LEFT($I2,9)="Completed",$I2="Dissolved",$I2="Superseded"),1,0))</f>
        <v>0</v>
      </c>
      <c r="R2">
        <f>IF($C2="","",IFERROR(VLOOKUP($D2,Variables!$C$2:$D$15,2,FALSE),50))</f>
        <v>50</v>
      </c>
      <c r="S2">
        <f>IF($C2="","",IFERROR(VLOOKUP($G2,Variables!$F$2:$G$9,2,FALSE),8))</f>
        <v>8</v>
      </c>
      <c r="T2">
        <f t="shared" ref="T2" si="1">IF($C2="","",(IF(ISNUMBER($B2),$B2,2000+$R2))*10000+$R2*100+$S2+ROW()*0.001)</f>
        <v>15008.002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FEF4-7484-486C-9C2A-BD0A26A90E5F}">
  <dimension ref="A1:G15"/>
  <sheetViews>
    <sheetView workbookViewId="0">
      <selection activeCell="A6" sqref="A6"/>
    </sheetView>
  </sheetViews>
  <sheetFormatPr defaultRowHeight="15" x14ac:dyDescent="0.25"/>
  <cols>
    <col min="1" max="1" width="35.7109375" bestFit="1" customWidth="1"/>
    <col min="3" max="3" width="26.140625" bestFit="1" customWidth="1"/>
  </cols>
  <sheetData>
    <row r="1" spans="1:7" x14ac:dyDescent="0.25">
      <c r="A1" s="2" t="s">
        <v>53</v>
      </c>
      <c r="C1" s="3" t="s">
        <v>3</v>
      </c>
      <c r="D1" s="3" t="s">
        <v>56</v>
      </c>
      <c r="F1" s="3" t="s">
        <v>5</v>
      </c>
      <c r="G1" s="3" t="s">
        <v>57</v>
      </c>
    </row>
    <row r="2" spans="1:7" x14ac:dyDescent="0.25">
      <c r="A2" t="s">
        <v>19</v>
      </c>
      <c r="C2" t="s">
        <v>36</v>
      </c>
      <c r="D2">
        <v>1</v>
      </c>
      <c r="F2" t="s">
        <v>32</v>
      </c>
      <c r="G2">
        <v>1</v>
      </c>
    </row>
    <row r="3" spans="1:7" x14ac:dyDescent="0.25">
      <c r="A3" t="s">
        <v>17</v>
      </c>
      <c r="C3" t="s">
        <v>24</v>
      </c>
      <c r="D3">
        <v>2</v>
      </c>
      <c r="F3" t="s">
        <v>16</v>
      </c>
      <c r="G3">
        <v>2</v>
      </c>
    </row>
    <row r="4" spans="1:7" x14ac:dyDescent="0.25">
      <c r="A4" t="s">
        <v>54</v>
      </c>
      <c r="C4" t="s">
        <v>37</v>
      </c>
      <c r="D4">
        <v>3</v>
      </c>
      <c r="F4" t="s">
        <v>22</v>
      </c>
      <c r="G4">
        <v>3</v>
      </c>
    </row>
    <row r="5" spans="1:7" x14ac:dyDescent="0.25">
      <c r="A5" t="s">
        <v>23</v>
      </c>
      <c r="C5" t="s">
        <v>21</v>
      </c>
      <c r="D5">
        <v>4</v>
      </c>
      <c r="F5" t="s">
        <v>18</v>
      </c>
      <c r="G5">
        <v>4</v>
      </c>
    </row>
    <row r="6" spans="1:7" x14ac:dyDescent="0.25">
      <c r="A6" t="s">
        <v>28</v>
      </c>
      <c r="C6" t="s">
        <v>19</v>
      </c>
      <c r="D6">
        <v>5</v>
      </c>
      <c r="F6" t="s">
        <v>35</v>
      </c>
      <c r="G6">
        <v>5</v>
      </c>
    </row>
    <row r="7" spans="1:7" x14ac:dyDescent="0.25">
      <c r="A7" t="s">
        <v>20</v>
      </c>
      <c r="C7" t="s">
        <v>15</v>
      </c>
      <c r="D7">
        <v>6</v>
      </c>
      <c r="F7" t="s">
        <v>26</v>
      </c>
      <c r="G7">
        <v>6</v>
      </c>
    </row>
    <row r="8" spans="1:7" x14ac:dyDescent="0.25">
      <c r="C8" t="s">
        <v>25</v>
      </c>
      <c r="D8">
        <v>7</v>
      </c>
      <c r="F8" t="s">
        <v>38</v>
      </c>
      <c r="G8">
        <v>6.5</v>
      </c>
    </row>
    <row r="9" spans="1:7" x14ac:dyDescent="0.25">
      <c r="C9" t="s">
        <v>29</v>
      </c>
      <c r="D9">
        <v>8</v>
      </c>
      <c r="F9" t="s">
        <v>27</v>
      </c>
      <c r="G9">
        <v>7</v>
      </c>
    </row>
    <row r="10" spans="1:7" x14ac:dyDescent="0.25">
      <c r="C10" t="s">
        <v>30</v>
      </c>
      <c r="D10">
        <v>9</v>
      </c>
    </row>
    <row r="11" spans="1:7" x14ac:dyDescent="0.25">
      <c r="C11" t="s">
        <v>31</v>
      </c>
      <c r="D11">
        <v>10</v>
      </c>
    </row>
    <row r="12" spans="1:7" x14ac:dyDescent="0.25">
      <c r="C12" t="s">
        <v>33</v>
      </c>
      <c r="D12">
        <v>11</v>
      </c>
    </row>
    <row r="13" spans="1:7" x14ac:dyDescent="0.25">
      <c r="C13" t="s">
        <v>40</v>
      </c>
      <c r="D13">
        <v>12</v>
      </c>
    </row>
    <row r="14" spans="1:7" x14ac:dyDescent="0.25">
      <c r="C14" t="s">
        <v>34</v>
      </c>
      <c r="D14">
        <v>13</v>
      </c>
    </row>
    <row r="15" spans="1:7" x14ac:dyDescent="0.25">
      <c r="C15" t="s">
        <v>39</v>
      </c>
      <c r="D15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5783F5-C897-4DC7-8CC3-A6B78AC8D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DATA.sprint-catalog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Brown</cp:lastModifiedBy>
  <cp:revision>6</cp:revision>
  <dcterms:created xsi:type="dcterms:W3CDTF">2026-05-11T14:55:55Z</dcterms:created>
  <dcterms:modified xsi:type="dcterms:W3CDTF">2026-06-29T20:31:22Z</dcterms:modified>
  <dc:language>en-US</dc:language>
</cp:coreProperties>
</file>